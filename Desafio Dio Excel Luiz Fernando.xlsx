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fnol\OneDrive\Desktop\"/>
    </mc:Choice>
  </mc:AlternateContent>
  <xr:revisionPtr revIDLastSave="0" documentId="8_{7F26971D-27AB-4E97-996B-DB09D06E0E9F}" xr6:coauthVersionLast="47" xr6:coauthVersionMax="47" xr10:uidLastSave="{00000000-0000-0000-0000-000000000000}"/>
  <bookViews>
    <workbookView xWindow="-108" yWindow="-108" windowWidth="23256" windowHeight="12456" activeTab="1" xr2:uid="{AB429D86-CC4C-4F90-85D0-1FBEA39D555F}"/>
  </bookViews>
  <sheets>
    <sheet name="Investimentos" sheetId="1" r:id="rId1"/>
    <sheet name="Planilha de Apoio" sheetId="2" r:id="rId2"/>
  </sheets>
  <definedNames>
    <definedName name="_xlchart.v1.0" hidden="1">Investimentos!$B$36:$B$41</definedName>
    <definedName name="_xlchart.v1.1" hidden="1">Investimentos!$C$36:$C$41</definedName>
    <definedName name="_xlchart.v1.2" hidden="1">Investimentos!$D$36:$D$41</definedName>
    <definedName name="_xlchart.v1.3" hidden="1">Investimentos!$B$36:$B$41</definedName>
    <definedName name="_xlchart.v1.4" hidden="1">Investimentos!$C$35</definedName>
    <definedName name="_xlchart.v1.5" hidden="1">Investimentos!$C$36:$C$41</definedName>
    <definedName name="_xlchart.v1.6" hidden="1">Investimentos!$B$36:$B$41</definedName>
    <definedName name="_xlchart.v1.7" hidden="1">Investimentos!$C$36:$C$41</definedName>
    <definedName name="_xlchart.v1.8" hidden="1">Investimentos!$D$36:$D$41</definedName>
    <definedName name="Aporte">Investimentos!$D$18</definedName>
    <definedName name="Patrimonio">Investimentos!$D$21</definedName>
    <definedName name="Qtd_Anos">Investimentos!$D$19</definedName>
    <definedName name="Rendimento_Carteira">Investimentos!$D$14</definedName>
    <definedName name="Rendimento_de_Carteira">Investimentos!$D$14</definedName>
    <definedName name="Rendomento_de_Carteira">Investimentos!$D$14</definedName>
    <definedName name="Salario">Investimentos!$D$13</definedName>
    <definedName name="Salário">Investimentos!$D$13</definedName>
    <definedName name="Sugestao_Investimento">Investimentos!$D$15</definedName>
    <definedName name="Sugestão_Investimento">Investimentos!$D$15</definedName>
    <definedName name="Taxa_mensal">Investimentos!$D$20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D41" i="1" s="1"/>
  <c r="C36" i="1"/>
  <c r="J3" i="2"/>
  <c r="C29" i="1"/>
  <c r="D29" i="1" s="1"/>
  <c r="C33" i="1"/>
  <c r="D21" i="1"/>
  <c r="D22" i="1" s="1"/>
  <c r="D15" i="1"/>
  <c r="C27" i="1"/>
  <c r="D27" i="1" s="1"/>
  <c r="C26" i="1"/>
  <c r="D26" i="1" s="1"/>
  <c r="C28" i="1"/>
  <c r="D28" i="1" s="1"/>
  <c r="C25" i="1"/>
  <c r="D25" i="1" s="1"/>
  <c r="D37" i="1" l="1"/>
  <c r="D40" i="1"/>
  <c r="D39" i="1"/>
  <c r="D38" i="1"/>
  <c r="D36" i="1"/>
  <c r="D42" i="1"/>
</calcChain>
</file>

<file path=xl/sharedStrings.xml><?xml version="1.0" encoding="utf-8"?>
<sst xmlns="http://schemas.openxmlformats.org/spreadsheetml/2006/main" count="89" uniqueCount="52">
  <si>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</si>
  <si>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</si>
  <si>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</si>
  <si>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</si>
  <si>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</si>
  <si>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</si>
  <si>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</si>
  <si>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</si>
  <si>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</si>
  <si>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</si>
  <si>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</si>
  <si>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</si>
  <si>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</si>
  <si>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Salário</t>
  </si>
  <si>
    <t>Rendimento  Carteira</t>
  </si>
  <si>
    <t>CONFIGURAÇÕES</t>
  </si>
  <si>
    <t>Agressivo</t>
  </si>
  <si>
    <t>Moderado</t>
  </si>
  <si>
    <t>Conservador</t>
  </si>
  <si>
    <t>Valor Investido por Mês</t>
  </si>
  <si>
    <t>PERFIL</t>
  </si>
  <si>
    <t>VALORES</t>
  </si>
  <si>
    <t>TIPO DE FII</t>
  </si>
  <si>
    <t>PAPEL</t>
  </si>
  <si>
    <t>TIJOLO</t>
  </si>
  <si>
    <t>HIBRIDO</t>
  </si>
  <si>
    <t>FOFs</t>
  </si>
  <si>
    <t>DESENVOLVIMENTO</t>
  </si>
  <si>
    <t>HOTELARIA</t>
  </si>
  <si>
    <t>PERCENTUAL SUGERIDO</t>
  </si>
  <si>
    <t>CHAVE</t>
  </si>
  <si>
    <t>Conservador-PAPEL</t>
  </si>
  <si>
    <t>Conservador-TIJOLO</t>
  </si>
  <si>
    <t>Conservador-HIBRIDO</t>
  </si>
  <si>
    <t>Conservador-FOFs</t>
  </si>
  <si>
    <t>Conservador-DESENVOLVIMENTO</t>
  </si>
  <si>
    <t>Conservador-HOTELARIA</t>
  </si>
  <si>
    <t>Moderado-PAPEL</t>
  </si>
  <si>
    <t>Moderado-TIJOLO</t>
  </si>
  <si>
    <t>Moderado-HIBRIDO</t>
  </si>
  <si>
    <t>Moderado-FOFs</t>
  </si>
  <si>
    <t>Moderado-DESENVOLVIMENTO</t>
  </si>
  <si>
    <t>Moderado-HOTELARIA</t>
  </si>
  <si>
    <t>Agressivo-PAPEL</t>
  </si>
  <si>
    <t>Agressivo-TIJOLO</t>
  </si>
  <si>
    <t>Agressivo-HIBRIDO</t>
  </si>
  <si>
    <t>Agressivo-FOFs</t>
  </si>
  <si>
    <t>Agressivo-DESENVOLVIMENTO</t>
  </si>
  <si>
    <t>Agressivo-HOTELARIA</t>
  </si>
  <si>
    <t>%</t>
  </si>
  <si>
    <t>Sugestão de Investimento 30%</t>
  </si>
  <si>
    <t>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</si>
</sst>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Display"/>
      <family val="2"/>
      <scheme val="major"/>
    </font>
    <font>
      <b/>
      <sz val="13"/>
      <color theme="1"/>
      <name val="Aptos Narrow"/>
      <family val="2"/>
      <scheme val="minor"/>
    </font>
    <font>
      <b/>
      <sz val="16"/>
      <color theme="0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b/>
      <sz val="13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/>
      <diagonal/>
    </border>
    <border>
      <left/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4" borderId="0" xfId="0" applyFill="1"/>
    <xf numFmtId="0" fontId="4" fillId="4" borderId="0" xfId="0" applyFont="1" applyFill="1"/>
    <xf numFmtId="9" fontId="0" fillId="0" borderId="0" xfId="0" applyNumberFormat="1"/>
    <xf numFmtId="166" fontId="3" fillId="0" borderId="11" xfId="1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0" fontId="3" fillId="0" borderId="14" xfId="0" applyNumberFormat="1" applyFont="1" applyBorder="1" applyAlignment="1">
      <alignment horizontal="center"/>
    </xf>
    <xf numFmtId="8" fontId="3" fillId="3" borderId="14" xfId="0" applyNumberFormat="1" applyFont="1" applyFill="1" applyBorder="1" applyAlignment="1">
      <alignment horizontal="center"/>
    </xf>
    <xf numFmtId="8" fontId="3" fillId="3" borderId="17" xfId="0" applyNumberFormat="1" applyFont="1" applyFill="1" applyBorder="1" applyAlignment="1">
      <alignment horizontal="center"/>
    </xf>
    <xf numFmtId="166" fontId="3" fillId="3" borderId="11" xfId="0" applyNumberFormat="1" applyFont="1" applyFill="1" applyBorder="1" applyAlignment="1">
      <alignment horizontal="left"/>
    </xf>
    <xf numFmtId="9" fontId="3" fillId="3" borderId="14" xfId="0" applyNumberFormat="1" applyFont="1" applyFill="1" applyBorder="1" applyAlignment="1">
      <alignment horizontal="left"/>
    </xf>
    <xf numFmtId="166" fontId="3" fillId="3" borderId="17" xfId="0" applyNumberFormat="1" applyFont="1" applyFill="1" applyBorder="1" applyAlignment="1">
      <alignment horizontal="left"/>
    </xf>
    <xf numFmtId="0" fontId="6" fillId="3" borderId="12" xfId="0" applyFont="1" applyFill="1" applyBorder="1" applyAlignment="1">
      <alignment horizontal="left" indent="3"/>
    </xf>
    <xf numFmtId="0" fontId="6" fillId="3" borderId="13" xfId="0" applyFont="1" applyFill="1" applyBorder="1" applyAlignment="1">
      <alignment horizontal="left" indent="3"/>
    </xf>
    <xf numFmtId="0" fontId="6" fillId="3" borderId="15" xfId="0" applyFont="1" applyFill="1" applyBorder="1" applyAlignment="1">
      <alignment horizontal="left" indent="3"/>
    </xf>
    <xf numFmtId="0" fontId="6" fillId="3" borderId="16" xfId="0" applyFont="1" applyFill="1" applyBorder="1" applyAlignment="1">
      <alignment horizontal="left" indent="3"/>
    </xf>
    <xf numFmtId="8" fontId="6" fillId="3" borderId="10" xfId="0" applyNumberFormat="1" applyFont="1" applyFill="1" applyBorder="1" applyAlignment="1">
      <alignment horizontal="left"/>
    </xf>
    <xf numFmtId="8" fontId="6" fillId="3" borderId="13" xfId="0" applyNumberFormat="1" applyFont="1" applyFill="1" applyBorder="1" applyAlignment="1">
      <alignment horizontal="left"/>
    </xf>
    <xf numFmtId="8" fontId="6" fillId="3" borderId="16" xfId="0" applyNumberFormat="1" applyFont="1" applyFill="1" applyBorder="1" applyAlignment="1">
      <alignment horizontal="left"/>
    </xf>
    <xf numFmtId="8" fontId="3" fillId="3" borderId="11" xfId="0" applyNumberFormat="1" applyFont="1" applyFill="1" applyBorder="1" applyAlignment="1">
      <alignment horizontal="left"/>
    </xf>
    <xf numFmtId="8" fontId="3" fillId="3" borderId="14" xfId="0" applyNumberFormat="1" applyFont="1" applyFill="1" applyBorder="1" applyAlignment="1">
      <alignment horizontal="left"/>
    </xf>
    <xf numFmtId="8" fontId="3" fillId="3" borderId="17" xfId="0" applyNumberFormat="1" applyFont="1" applyFill="1" applyBorder="1" applyAlignment="1">
      <alignment horizontal="left"/>
    </xf>
    <xf numFmtId="0" fontId="9" fillId="5" borderId="19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left" indent="3"/>
    </xf>
    <xf numFmtId="166" fontId="3" fillId="2" borderId="22" xfId="0" applyNumberFormat="1" applyFont="1" applyFill="1" applyBorder="1" applyAlignment="1">
      <alignment horizontal="center"/>
    </xf>
    <xf numFmtId="166" fontId="3" fillId="2" borderId="23" xfId="0" applyNumberFormat="1" applyFont="1" applyFill="1" applyBorder="1" applyAlignment="1">
      <alignment horizontal="center"/>
    </xf>
    <xf numFmtId="0" fontId="0" fillId="3" borderId="5" xfId="0" applyFill="1" applyBorder="1"/>
    <xf numFmtId="0" fontId="0" fillId="3" borderId="8" xfId="0" applyFill="1" applyBorder="1"/>
    <xf numFmtId="166" fontId="3" fillId="3" borderId="6" xfId="0" applyNumberFormat="1" applyFont="1" applyFill="1" applyBorder="1" applyAlignment="1">
      <alignment horizontal="left"/>
    </xf>
    <xf numFmtId="0" fontId="10" fillId="2" borderId="24" xfId="0" applyFont="1" applyFill="1" applyBorder="1" applyAlignment="1">
      <alignment horizontal="left" indent="3"/>
    </xf>
    <xf numFmtId="0" fontId="10" fillId="2" borderId="12" xfId="0" applyFont="1" applyFill="1" applyBorder="1" applyAlignment="1">
      <alignment horizontal="left" indent="3"/>
    </xf>
    <xf numFmtId="0" fontId="10" fillId="2" borderId="27" xfId="0" applyFont="1" applyFill="1" applyBorder="1" applyAlignment="1">
      <alignment horizontal="left" indent="3"/>
    </xf>
    <xf numFmtId="9" fontId="3" fillId="2" borderId="25" xfId="0" applyNumberFormat="1" applyFont="1" applyFill="1" applyBorder="1" applyAlignment="1">
      <alignment horizontal="center"/>
    </xf>
    <xf numFmtId="9" fontId="3" fillId="2" borderId="29" xfId="0" applyNumberFormat="1" applyFont="1" applyFill="1" applyBorder="1" applyAlignment="1">
      <alignment horizontal="center"/>
    </xf>
    <xf numFmtId="9" fontId="3" fillId="2" borderId="30" xfId="0" applyNumberFormat="1" applyFont="1" applyFill="1" applyBorder="1" applyAlignment="1">
      <alignment horizontal="center"/>
    </xf>
    <xf numFmtId="0" fontId="10" fillId="2" borderId="13" xfId="0" applyFont="1" applyFill="1" applyBorder="1" applyAlignment="1">
      <alignment horizontal="left" indent="3"/>
    </xf>
    <xf numFmtId="0" fontId="10" fillId="2" borderId="16" xfId="0" applyFont="1" applyFill="1" applyBorder="1" applyAlignment="1">
      <alignment horizontal="left" indent="3"/>
    </xf>
    <xf numFmtId="0" fontId="3" fillId="2" borderId="13" xfId="0" applyFont="1" applyFill="1" applyBorder="1" applyAlignment="1">
      <alignment horizontal="left" indent="1"/>
    </xf>
    <xf numFmtId="0" fontId="3" fillId="2" borderId="16" xfId="0" applyFont="1" applyFill="1" applyBorder="1" applyAlignment="1">
      <alignment horizontal="left" indent="1"/>
    </xf>
    <xf numFmtId="0" fontId="2" fillId="6" borderId="2" xfId="0" applyFont="1" applyFill="1" applyBorder="1" applyAlignment="1">
      <alignment horizontal="center"/>
    </xf>
    <xf numFmtId="0" fontId="11" fillId="6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left" indent="1"/>
    </xf>
    <xf numFmtId="0" fontId="3" fillId="2" borderId="15" xfId="0" applyFont="1" applyFill="1" applyBorder="1" applyAlignment="1">
      <alignment horizontal="left" indent="1"/>
    </xf>
    <xf numFmtId="0" fontId="5" fillId="7" borderId="4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0" fontId="13" fillId="7" borderId="18" xfId="0" applyFont="1" applyFill="1" applyBorder="1" applyAlignment="1">
      <alignment horizontal="left" indent="3"/>
    </xf>
    <xf numFmtId="0" fontId="2" fillId="7" borderId="2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left" indent="3"/>
    </xf>
    <xf numFmtId="0" fontId="3" fillId="3" borderId="10" xfId="0" applyFont="1" applyFill="1" applyBorder="1" applyAlignment="1">
      <alignment horizontal="left" indent="3"/>
    </xf>
    <xf numFmtId="0" fontId="3" fillId="3" borderId="12" xfId="0" applyFont="1" applyFill="1" applyBorder="1" applyAlignment="1">
      <alignment horizontal="left" indent="3"/>
    </xf>
    <xf numFmtId="0" fontId="3" fillId="3" borderId="13" xfId="0" applyFont="1" applyFill="1" applyBorder="1" applyAlignment="1">
      <alignment horizontal="left" indent="3"/>
    </xf>
    <xf numFmtId="0" fontId="3" fillId="3" borderId="15" xfId="0" applyFont="1" applyFill="1" applyBorder="1" applyAlignment="1">
      <alignment horizontal="left" indent="3"/>
    </xf>
    <xf numFmtId="0" fontId="3" fillId="3" borderId="16" xfId="0" applyFont="1" applyFill="1" applyBorder="1" applyAlignment="1">
      <alignment horizontal="left" indent="3"/>
    </xf>
    <xf numFmtId="0" fontId="6" fillId="0" borderId="9" xfId="0" applyFont="1" applyBorder="1" applyAlignment="1">
      <alignment horizontal="left" indent="3"/>
    </xf>
    <xf numFmtId="0" fontId="6" fillId="0" borderId="10" xfId="0" applyFont="1" applyBorder="1" applyAlignment="1">
      <alignment horizontal="left" indent="3"/>
    </xf>
    <xf numFmtId="0" fontId="6" fillId="0" borderId="12" xfId="0" applyFont="1" applyBorder="1" applyAlignment="1">
      <alignment horizontal="left" indent="3"/>
    </xf>
    <xf numFmtId="0" fontId="6" fillId="0" borderId="13" xfId="0" applyFont="1" applyBorder="1" applyAlignment="1">
      <alignment horizontal="left" indent="3"/>
    </xf>
    <xf numFmtId="0" fontId="6" fillId="3" borderId="9" xfId="0" applyFont="1" applyFill="1" applyBorder="1" applyAlignment="1">
      <alignment horizontal="left" indent="3"/>
    </xf>
    <xf numFmtId="0" fontId="6" fillId="3" borderId="12" xfId="0" applyFont="1" applyFill="1" applyBorder="1" applyAlignment="1">
      <alignment horizontal="left" indent="3"/>
    </xf>
    <xf numFmtId="0" fontId="6" fillId="3" borderId="15" xfId="0" applyFont="1" applyFill="1" applyBorder="1" applyAlignment="1">
      <alignment horizontal="left" indent="3"/>
    </xf>
    <xf numFmtId="166" fontId="3" fillId="2" borderId="26" xfId="0" applyNumberFormat="1" applyFont="1" applyFill="1" applyBorder="1" applyAlignment="1">
      <alignment horizontal="left"/>
    </xf>
    <xf numFmtId="166" fontId="3" fillId="2" borderId="14" xfId="0" applyNumberFormat="1" applyFont="1" applyFill="1" applyBorder="1" applyAlignment="1">
      <alignment horizontal="left"/>
    </xf>
    <xf numFmtId="166" fontId="3" fillId="2" borderId="28" xfId="0" applyNumberFormat="1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9" fontId="2" fillId="7" borderId="1" xfId="2" applyFont="1" applyFill="1" applyBorder="1" applyAlignme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Investimentos!$C$35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Investimentos!$B$36:$B$41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Investimentos!$C$36:$C$41</c:f>
              <c:numCache>
                <c:formatCode>0%</c:formatCode>
                <c:ptCount val="6"/>
                <c:pt idx="0">
                  <c:v>0.32</c:v>
                </c:pt>
                <c:pt idx="1">
                  <c:v>0.3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B-4C90-8ED7-33C3F61A71C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955907830273811E-2"/>
          <c:y val="0.84490696996208803"/>
          <c:w val="0.97353087319330001"/>
          <c:h val="0.132870807815689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  <cx:data id="1">
      <cx:strDim type="cat">
        <cx:f>_xlchart.v1.6</cx:f>
      </cx:strDim>
      <cx:numDim type="val">
        <cx:f>_xlchart.v1.8</cx:f>
      </cx:numDim>
    </cx:data>
  </cx:chartData>
  <cx:chart>
    <cx:title pos="t" align="ctr" overlay="0"/>
    <cx:plotArea>
      <cx:plotAreaRegion>
        <cx:series layoutId="clusteredColumn" uniqueId="{A2E2BB77-A8C4-4278-B8A9-8F9F70813792}" formatIdx="0">
          <cx:dataId val="0"/>
          <cx:layoutPr>
            <cx:aggregation/>
          </cx:layoutPr>
          <cx:axisId val="1"/>
        </cx:series>
        <cx:series layoutId="paretoLine" ownerIdx="0" uniqueId="{DB9A3BA1-44EC-40AE-B836-24D16F565F8B}" formatIdx="1">
          <cx:axisId val="2"/>
        </cx:series>
        <cx:series layoutId="clusteredColumn" hidden="1" uniqueId="{B93E46BA-8892-4A34-8D8E-CB81E6FB14A7}" formatIdx="2">
          <cx:dataId val="1"/>
          <cx:layoutPr>
            <cx:aggregation/>
          </cx:layoutPr>
          <cx:axisId val="1"/>
        </cx:series>
        <cx:series layoutId="paretoLine" ownerIdx="2" uniqueId="{60D71A26-2E95-4757-AD30-0B6DECF27570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</xdr:colOff>
      <xdr:row>43</xdr:row>
      <xdr:rowOff>165847</xdr:rowOff>
    </xdr:from>
    <xdr:to>
      <xdr:col>4</xdr:col>
      <xdr:colOff>0</xdr:colOff>
      <xdr:row>63</xdr:row>
      <xdr:rowOff>8965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6061F1C-28D4-D415-CB57-5B95DD720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242047</xdr:colOff>
      <xdr:row>65</xdr:row>
      <xdr:rowOff>98611</xdr:rowOff>
    </xdr:from>
    <xdr:to>
      <xdr:col>3</xdr:col>
      <xdr:colOff>699246</xdr:colOff>
      <xdr:row>85</xdr:row>
      <xdr:rowOff>125506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6251D8ED-EE7F-BD71-F718-698D2A0289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235" y="12514729"/>
              <a:ext cx="6875929" cy="36127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179294</xdr:colOff>
      <xdr:row>0</xdr:row>
      <xdr:rowOff>8965</xdr:rowOff>
    </xdr:from>
    <xdr:to>
      <xdr:col>16383</xdr:col>
      <xdr:colOff>35859</xdr:colOff>
      <xdr:row>10</xdr:row>
      <xdr:rowOff>8965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9DE1998-D0D7-F2AA-5075-BBC8873B8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4" y="8965"/>
          <a:ext cx="7449671" cy="1792941"/>
        </a:xfrm>
        <a:prstGeom prst="roundRect">
          <a:avLst>
            <a:gd name="adj" fmla="val 11111"/>
          </a:avLst>
        </a:prstGeom>
        <a:ln w="190500" cap="rnd">
          <a:solidFill>
            <a:srgbClr val="C8C6BD"/>
          </a:solidFill>
          <a:prstDash val="solid"/>
        </a:ln>
        <a:effectLst>
          <a:outerShdw blurRad="101600" dist="50800" dir="7200000" algn="tl" rotWithShape="0">
            <a:srgbClr val="000000">
              <a:alpha val="45000"/>
            </a:srgbClr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FFFFFF"/>
          </a:extrusionClr>
        </a:sp3d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D4DA-BC3C-475B-B8DF-A52B388056A4}">
  <dimension ref="A11:XFD67"/>
  <sheetViews>
    <sheetView showGridLines="0" zoomScale="85" zoomScaleNormal="85" workbookViewId="0">
      <selection activeCell="C44" sqref="C44"/>
    </sheetView>
  </sheetViews>
  <sheetFormatPr defaultColWidth="0" defaultRowHeight="14.4" x14ac:dyDescent="0.3"/>
  <cols>
    <col min="1" max="1" width="3" bestFit="1" customWidth="1"/>
    <col min="2" max="2" width="59.21875" customWidth="1"/>
    <col min="3" max="3" width="34.33203125" customWidth="1"/>
    <col min="4" max="4" width="14.109375" customWidth="1"/>
    <col min="5" max="5" width="0.21875" hidden="1" customWidth="1"/>
    <col min="6" max="6" width="0" hidden="1" customWidth="1"/>
    <col min="12" max="16383" width="6.77734375" hidden="1"/>
    <col min="16384" max="16384" width="3.5546875" customWidth="1"/>
  </cols>
  <sheetData>
    <row r="11" spans="2:4" ht="15.6" customHeight="1" thickBot="1" x14ac:dyDescent="0.35"/>
    <row r="12" spans="2:4" ht="15.6" customHeight="1" thickBot="1" x14ac:dyDescent="0.35">
      <c r="B12" s="49" t="s">
        <v>15</v>
      </c>
      <c r="C12" s="50"/>
      <c r="D12" s="48"/>
    </row>
    <row r="13" spans="2:4" ht="15.6" customHeight="1" thickBot="1" x14ac:dyDescent="0.35">
      <c r="B13" s="59" t="s">
        <v>13</v>
      </c>
      <c r="C13" s="60"/>
      <c r="D13" s="9">
        <v>5250</v>
      </c>
    </row>
    <row r="14" spans="2:4" ht="15.6" customHeight="1" thickBot="1" x14ac:dyDescent="0.35">
      <c r="B14" s="61" t="s">
        <v>14</v>
      </c>
      <c r="C14" s="62"/>
      <c r="D14" s="10">
        <v>0.01</v>
      </c>
    </row>
    <row r="15" spans="2:4" ht="15.6" customHeight="1" thickBot="1" x14ac:dyDescent="0.35">
      <c r="B15" s="63" t="s">
        <v>50</v>
      </c>
      <c r="C15" s="64"/>
      <c r="D15" s="11">
        <f>D13*30%</f>
        <v>1575</v>
      </c>
    </row>
    <row r="16" spans="2:4" ht="15.6" customHeight="1" thickBot="1" x14ac:dyDescent="0.35"/>
    <row r="17" spans="1:4" ht="20.399999999999999" customHeight="1" thickBot="1" x14ac:dyDescent="0.35">
      <c r="B17" s="46" t="s">
        <v>5</v>
      </c>
      <c r="C17" s="47"/>
      <c r="D17" s="51"/>
    </row>
    <row r="18" spans="1:4" ht="17.399999999999999" customHeight="1" thickBot="1" x14ac:dyDescent="0.4">
      <c r="B18" s="65" t="s">
        <v>0</v>
      </c>
      <c r="C18" s="66"/>
      <c r="D18" s="4">
        <v>950</v>
      </c>
    </row>
    <row r="19" spans="1:4" ht="14.4" customHeight="1" thickBot="1" x14ac:dyDescent="0.4">
      <c r="B19" s="67" t="s">
        <v>1</v>
      </c>
      <c r="C19" s="68"/>
      <c r="D19" s="5">
        <v>5</v>
      </c>
    </row>
    <row r="20" spans="1:4" ht="14.4" customHeight="1" thickBot="1" x14ac:dyDescent="0.4">
      <c r="B20" s="67" t="s">
        <v>2</v>
      </c>
      <c r="C20" s="68"/>
      <c r="D20" s="6">
        <v>1.0789999999999999E-2</v>
      </c>
    </row>
    <row r="21" spans="1:4" ht="14.4" customHeight="1" thickBot="1" x14ac:dyDescent="0.4">
      <c r="B21" s="12" t="s">
        <v>3</v>
      </c>
      <c r="C21" s="13"/>
      <c r="D21" s="7">
        <f>FV(Taxa_mensal,Qtd_Anos*12,Aporte*-1)</f>
        <v>79588.068298563259</v>
      </c>
    </row>
    <row r="22" spans="1:4" ht="15" customHeight="1" thickBot="1" x14ac:dyDescent="0.4">
      <c r="B22" s="14" t="s">
        <v>4</v>
      </c>
      <c r="C22" s="15"/>
      <c r="D22" s="8">
        <f>Patrimonio*$D$14</f>
        <v>795.88068298563257</v>
      </c>
    </row>
    <row r="23" spans="1:4" ht="15" thickBot="1" x14ac:dyDescent="0.35"/>
    <row r="24" spans="1:4" ht="22.2" customHeight="1" thickBot="1" x14ac:dyDescent="0.35">
      <c r="B24" s="52" t="s">
        <v>11</v>
      </c>
      <c r="C24" s="53"/>
      <c r="D24" s="54" t="s">
        <v>12</v>
      </c>
    </row>
    <row r="25" spans="1:4" ht="18" thickBot="1" x14ac:dyDescent="0.4">
      <c r="A25" s="2">
        <v>2</v>
      </c>
      <c r="B25" s="69" t="s">
        <v>6</v>
      </c>
      <c r="C25" s="16">
        <f>FV($D$20,$A25*12,$D$18*-1)</f>
        <v>25866.245932762955</v>
      </c>
      <c r="D25" s="19">
        <f>C25*Rendimento_Carteira</f>
        <v>258.66245932762956</v>
      </c>
    </row>
    <row r="26" spans="1:4" ht="18" thickBot="1" x14ac:dyDescent="0.4">
      <c r="A26" s="2">
        <v>5</v>
      </c>
      <c r="B26" s="70" t="s">
        <v>7</v>
      </c>
      <c r="C26" s="17">
        <f>FV($D$20,$A26*12,$D$18*-1)</f>
        <v>79588.068298563259</v>
      </c>
      <c r="D26" s="20">
        <f>C26*Rendimento_Carteira</f>
        <v>795.88068298563257</v>
      </c>
    </row>
    <row r="27" spans="1:4" ht="18" thickBot="1" x14ac:dyDescent="0.4">
      <c r="A27" s="2">
        <v>10</v>
      </c>
      <c r="B27" s="70" t="s">
        <v>8</v>
      </c>
      <c r="C27" s="17">
        <f>FV($D$20,$A27*12,$D$18*-1)</f>
        <v>231120.00190366359</v>
      </c>
      <c r="D27" s="20">
        <f>C27*Rendimento_Carteira</f>
        <v>2311.2000190366361</v>
      </c>
    </row>
    <row r="28" spans="1:4" ht="18" thickBot="1" x14ac:dyDescent="0.4">
      <c r="A28" s="2">
        <v>20</v>
      </c>
      <c r="B28" s="70" t="s">
        <v>9</v>
      </c>
      <c r="C28" s="17">
        <f>FV($D$20,$A28*12,$D$18*-1)</f>
        <v>1068938.4800922265</v>
      </c>
      <c r="D28" s="20">
        <f>C28*Rendimento_Carteira</f>
        <v>10689.384800922266</v>
      </c>
    </row>
    <row r="29" spans="1:4" ht="18" thickBot="1" x14ac:dyDescent="0.4">
      <c r="A29" s="2">
        <v>30</v>
      </c>
      <c r="B29" s="71" t="s">
        <v>10</v>
      </c>
      <c r="C29" s="18">
        <f>FV($D$20,$A29*12,$D$18*-1)</f>
        <v>4106061.1722544786</v>
      </c>
      <c r="D29" s="21">
        <f>C29*Rendimento_Carteira</f>
        <v>41060.611722544789</v>
      </c>
    </row>
    <row r="31" spans="1:4" ht="15" thickBot="1" x14ac:dyDescent="0.35"/>
    <row r="32" spans="1:4" ht="18" thickBot="1" x14ac:dyDescent="0.4">
      <c r="B32" s="55" t="s">
        <v>20</v>
      </c>
      <c r="C32" s="22" t="s">
        <v>17</v>
      </c>
      <c r="D32" s="23"/>
    </row>
    <row r="33" spans="2:4" ht="15" thickBot="1" x14ac:dyDescent="0.35">
      <c r="B33" s="24" t="s">
        <v>19</v>
      </c>
      <c r="C33" s="25">
        <f>Aporte</f>
        <v>950</v>
      </c>
      <c r="D33" s="26"/>
    </row>
    <row r="34" spans="2:4" ht="15" thickBot="1" x14ac:dyDescent="0.35"/>
    <row r="35" spans="2:4" x14ac:dyDescent="0.3">
      <c r="B35" s="56" t="s">
        <v>22</v>
      </c>
      <c r="C35" s="57" t="s">
        <v>29</v>
      </c>
      <c r="D35" s="58" t="s">
        <v>21</v>
      </c>
    </row>
    <row r="36" spans="2:4" ht="15" thickBot="1" x14ac:dyDescent="0.35">
      <c r="B36" s="30" t="s">
        <v>23</v>
      </c>
      <c r="C36" s="33">
        <f>VLOOKUP($C$32&amp;"-"&amp;B36,'Planilha de Apoio'!$A$4:$D$21,4,FALSE)</f>
        <v>0.32</v>
      </c>
      <c r="D36" s="72">
        <f>C36*$C$33</f>
        <v>304</v>
      </c>
    </row>
    <row r="37" spans="2:4" ht="15" thickBot="1" x14ac:dyDescent="0.35">
      <c r="B37" s="31" t="s">
        <v>24</v>
      </c>
      <c r="C37" s="33">
        <f>VLOOKUP($C$32&amp;"-"&amp;B37,'Planilha de Apoio'!$A$4:$D$21,4,FALSE)</f>
        <v>0.3</v>
      </c>
      <c r="D37" s="73">
        <f t="shared" ref="D37:D41" si="0">C37*$C$33</f>
        <v>285</v>
      </c>
    </row>
    <row r="38" spans="2:4" ht="15" thickBot="1" x14ac:dyDescent="0.35">
      <c r="B38" s="31" t="s">
        <v>25</v>
      </c>
      <c r="C38" s="33">
        <f>VLOOKUP($C$32&amp;"-"&amp;B38,'Planilha de Apoio'!$A$4:$D$21,4,FALSE)</f>
        <v>0.08</v>
      </c>
      <c r="D38" s="73">
        <f t="shared" si="0"/>
        <v>76</v>
      </c>
    </row>
    <row r="39" spans="2:4" ht="15" thickBot="1" x14ac:dyDescent="0.35">
      <c r="B39" s="31" t="s">
        <v>26</v>
      </c>
      <c r="C39" s="33">
        <f>VLOOKUP($C$32&amp;"-"&amp;B39,'Planilha de Apoio'!$A$4:$D$21,4,FALSE)</f>
        <v>0.1</v>
      </c>
      <c r="D39" s="73">
        <f t="shared" si="0"/>
        <v>95</v>
      </c>
    </row>
    <row r="40" spans="2:4" ht="15" thickBot="1" x14ac:dyDescent="0.35">
      <c r="B40" s="31" t="s">
        <v>27</v>
      </c>
      <c r="C40" s="33">
        <f>VLOOKUP($C$32&amp;"-"&amp;B40,'Planilha de Apoio'!$A$4:$D$21,4,FALSE)</f>
        <v>0.1</v>
      </c>
      <c r="D40" s="73">
        <f t="shared" si="0"/>
        <v>95</v>
      </c>
    </row>
    <row r="41" spans="2:4" ht="15" thickBot="1" x14ac:dyDescent="0.35">
      <c r="B41" s="32" t="s">
        <v>28</v>
      </c>
      <c r="C41" s="33">
        <f>VLOOKUP($C$32&amp;"-"&amp;B41,'Planilha de Apoio'!$A$4:$D$21,4,FALSE)</f>
        <v>0.1</v>
      </c>
      <c r="D41" s="74">
        <f t="shared" si="0"/>
        <v>95</v>
      </c>
    </row>
    <row r="42" spans="2:4" ht="15" thickBot="1" x14ac:dyDescent="0.35">
      <c r="B42" s="27"/>
      <c r="C42" s="28"/>
      <c r="D42" s="29">
        <f>SUM(D36:D41)</f>
        <v>950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7" spans="2:2" x14ac:dyDescent="0.3">
      <c r="B67" s="1"/>
    </row>
  </sheetData>
  <mergeCells count="12">
    <mergeCell ref="C33:D33"/>
    <mergeCell ref="C32:D32"/>
    <mergeCell ref="B22:C22"/>
    <mergeCell ref="B13:C13"/>
    <mergeCell ref="B14:C14"/>
    <mergeCell ref="B15:C15"/>
    <mergeCell ref="B12:C12"/>
    <mergeCell ref="B18:C18"/>
    <mergeCell ref="B19:C19"/>
    <mergeCell ref="B20:C20"/>
    <mergeCell ref="B21:C21"/>
    <mergeCell ref="B17:C17"/>
  </mergeCells>
  <dataValidations count="1">
    <dataValidation type="list" allowBlank="1" showInputMessage="1" showErrorMessage="1" sqref="C32" xr:uid="{6DFF3B02-A244-41DC-8347-13F54E74D6DB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C268-2FEC-4A60-8DE9-42E21DBEAB6C}">
  <dimension ref="A1:J21"/>
  <sheetViews>
    <sheetView showGridLines="0" tabSelected="1" workbookViewId="0">
      <selection activeCell="I14" sqref="I14"/>
    </sheetView>
  </sheetViews>
  <sheetFormatPr defaultRowHeight="14.4" x14ac:dyDescent="0.3"/>
  <cols>
    <col min="1" max="1" width="30.33203125" bestFit="1" customWidth="1"/>
    <col min="2" max="2" width="12.44140625" bestFit="1" customWidth="1"/>
    <col min="3" max="3" width="20.6640625" bestFit="1" customWidth="1"/>
    <col min="4" max="4" width="11.88671875" bestFit="1" customWidth="1"/>
  </cols>
  <sheetData>
    <row r="1" spans="1:10" ht="15" thickBot="1" x14ac:dyDescent="0.35"/>
    <row r="2" spans="1:10" ht="13.8" customHeight="1" thickBot="1" x14ac:dyDescent="0.35">
      <c r="H2" s="2"/>
      <c r="I2" s="2"/>
      <c r="J2" s="75" t="s">
        <v>49</v>
      </c>
    </row>
    <row r="3" spans="1:10" ht="12" customHeight="1" thickBot="1" x14ac:dyDescent="0.35">
      <c r="A3" s="40" t="s">
        <v>30</v>
      </c>
      <c r="B3" s="41" t="s">
        <v>20</v>
      </c>
      <c r="C3" s="42" t="s">
        <v>22</v>
      </c>
      <c r="D3" s="43" t="s">
        <v>51</v>
      </c>
      <c r="H3" s="76" t="s">
        <v>38</v>
      </c>
      <c r="I3" s="77"/>
      <c r="J3" s="78">
        <f>VLOOKUP(H3,$A$1:$D$22,4,FALSE)</f>
        <v>0.3</v>
      </c>
    </row>
    <row r="4" spans="1:10" ht="15" thickBot="1" x14ac:dyDescent="0.35">
      <c r="A4" s="44" t="s">
        <v>31</v>
      </c>
      <c r="B4" s="38" t="s">
        <v>18</v>
      </c>
      <c r="C4" s="36" t="s">
        <v>23</v>
      </c>
      <c r="D4" s="34">
        <v>0.3</v>
      </c>
    </row>
    <row r="5" spans="1:10" ht="15" thickBot="1" x14ac:dyDescent="0.35">
      <c r="A5" s="44" t="s">
        <v>32</v>
      </c>
      <c r="B5" s="38" t="s">
        <v>18</v>
      </c>
      <c r="C5" s="36" t="s">
        <v>24</v>
      </c>
      <c r="D5" s="34">
        <v>0.5</v>
      </c>
    </row>
    <row r="6" spans="1:10" ht="15" thickBot="1" x14ac:dyDescent="0.35">
      <c r="A6" s="44" t="s">
        <v>33</v>
      </c>
      <c r="B6" s="38" t="s">
        <v>18</v>
      </c>
      <c r="C6" s="36" t="s">
        <v>25</v>
      </c>
      <c r="D6" s="34">
        <v>0.1</v>
      </c>
    </row>
    <row r="7" spans="1:10" ht="15" thickBot="1" x14ac:dyDescent="0.35">
      <c r="A7" s="44" t="s">
        <v>34</v>
      </c>
      <c r="B7" s="38" t="s">
        <v>18</v>
      </c>
      <c r="C7" s="36" t="s">
        <v>26</v>
      </c>
      <c r="D7" s="34">
        <v>0.1</v>
      </c>
    </row>
    <row r="8" spans="1:10" ht="15" thickBot="1" x14ac:dyDescent="0.35">
      <c r="A8" s="44" t="s">
        <v>35</v>
      </c>
      <c r="B8" s="38" t="s">
        <v>18</v>
      </c>
      <c r="C8" s="36" t="s">
        <v>27</v>
      </c>
      <c r="D8" s="34">
        <v>0</v>
      </c>
    </row>
    <row r="9" spans="1:10" ht="15" thickBot="1" x14ac:dyDescent="0.35">
      <c r="A9" s="44" t="s">
        <v>36</v>
      </c>
      <c r="B9" s="38" t="s">
        <v>18</v>
      </c>
      <c r="C9" s="36" t="s">
        <v>28</v>
      </c>
      <c r="D9" s="34">
        <v>0</v>
      </c>
    </row>
    <row r="10" spans="1:10" ht="15" thickBot="1" x14ac:dyDescent="0.35">
      <c r="A10" s="44" t="s">
        <v>37</v>
      </c>
      <c r="B10" s="38" t="s">
        <v>17</v>
      </c>
      <c r="C10" s="36" t="s">
        <v>23</v>
      </c>
      <c r="D10" s="34">
        <v>0.32</v>
      </c>
    </row>
    <row r="11" spans="1:10" ht="15" thickBot="1" x14ac:dyDescent="0.35">
      <c r="A11" s="44" t="s">
        <v>38</v>
      </c>
      <c r="B11" s="38" t="s">
        <v>17</v>
      </c>
      <c r="C11" s="36" t="s">
        <v>24</v>
      </c>
      <c r="D11" s="34">
        <v>0.3</v>
      </c>
    </row>
    <row r="12" spans="1:10" ht="15" thickBot="1" x14ac:dyDescent="0.35">
      <c r="A12" s="44" t="s">
        <v>39</v>
      </c>
      <c r="B12" s="38" t="s">
        <v>17</v>
      </c>
      <c r="C12" s="36" t="s">
        <v>25</v>
      </c>
      <c r="D12" s="34">
        <v>0.08</v>
      </c>
    </row>
    <row r="13" spans="1:10" ht="15" thickBot="1" x14ac:dyDescent="0.35">
      <c r="A13" s="44" t="s">
        <v>40</v>
      </c>
      <c r="B13" s="38" t="s">
        <v>17</v>
      </c>
      <c r="C13" s="36" t="s">
        <v>26</v>
      </c>
      <c r="D13" s="34">
        <v>0.1</v>
      </c>
    </row>
    <row r="14" spans="1:10" ht="15" thickBot="1" x14ac:dyDescent="0.35">
      <c r="A14" s="44" t="s">
        <v>41</v>
      </c>
      <c r="B14" s="38" t="s">
        <v>17</v>
      </c>
      <c r="C14" s="36" t="s">
        <v>27</v>
      </c>
      <c r="D14" s="34">
        <v>0.1</v>
      </c>
    </row>
    <row r="15" spans="1:10" ht="15" thickBot="1" x14ac:dyDescent="0.35">
      <c r="A15" s="44" t="s">
        <v>42</v>
      </c>
      <c r="B15" s="38" t="s">
        <v>17</v>
      </c>
      <c r="C15" s="36" t="s">
        <v>28</v>
      </c>
      <c r="D15" s="34">
        <v>0.1</v>
      </c>
      <c r="E15" s="3"/>
    </row>
    <row r="16" spans="1:10" ht="15" thickBot="1" x14ac:dyDescent="0.35">
      <c r="A16" s="44" t="s">
        <v>43</v>
      </c>
      <c r="B16" s="38" t="s">
        <v>16</v>
      </c>
      <c r="C16" s="36" t="s">
        <v>23</v>
      </c>
      <c r="D16" s="34">
        <v>0.5</v>
      </c>
    </row>
    <row r="17" spans="1:5" ht="15" thickBot="1" x14ac:dyDescent="0.35">
      <c r="A17" s="44" t="s">
        <v>44</v>
      </c>
      <c r="B17" s="38" t="s">
        <v>16</v>
      </c>
      <c r="C17" s="36" t="s">
        <v>24</v>
      </c>
      <c r="D17" s="34">
        <v>0.1</v>
      </c>
    </row>
    <row r="18" spans="1:5" ht="15" thickBot="1" x14ac:dyDescent="0.35">
      <c r="A18" s="44" t="s">
        <v>45</v>
      </c>
      <c r="B18" s="38" t="s">
        <v>16</v>
      </c>
      <c r="C18" s="36" t="s">
        <v>25</v>
      </c>
      <c r="D18" s="34">
        <v>0.05</v>
      </c>
    </row>
    <row r="19" spans="1:5" ht="15" thickBot="1" x14ac:dyDescent="0.35">
      <c r="A19" s="44" t="s">
        <v>46</v>
      </c>
      <c r="B19" s="38" t="s">
        <v>16</v>
      </c>
      <c r="C19" s="36" t="s">
        <v>26</v>
      </c>
      <c r="D19" s="34">
        <v>0.05</v>
      </c>
    </row>
    <row r="20" spans="1:5" ht="15" thickBot="1" x14ac:dyDescent="0.35">
      <c r="A20" s="44" t="s">
        <v>47</v>
      </c>
      <c r="B20" s="38" t="s">
        <v>16</v>
      </c>
      <c r="C20" s="36" t="s">
        <v>27</v>
      </c>
      <c r="D20" s="34">
        <v>0.2</v>
      </c>
    </row>
    <row r="21" spans="1:5" ht="15" thickBot="1" x14ac:dyDescent="0.35">
      <c r="A21" s="45" t="s">
        <v>48</v>
      </c>
      <c r="B21" s="39" t="s">
        <v>16</v>
      </c>
      <c r="C21" s="37" t="s">
        <v>28</v>
      </c>
      <c r="D21" s="35">
        <v>0.1</v>
      </c>
      <c r="E21" s="3"/>
    </row>
  </sheetData>
  <mergeCells count="1">
    <mergeCell ref="H3:I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11</vt:i4>
      </vt:variant>
    </vt:vector>
  </HeadingPairs>
  <TitlesOfParts>
    <vt:vector size="13" baseType="lpstr">
      <vt:lpstr>Investimentos</vt:lpstr>
      <vt:lpstr>Planilha de Apoio</vt:lpstr>
      <vt:lpstr>Aporte</vt:lpstr>
      <vt:lpstr>Patrimonio</vt:lpstr>
      <vt:lpstr>Qtd_Anos</vt:lpstr>
      <vt:lpstr>Rendimento_Carteira</vt:lpstr>
      <vt:lpstr>Rendimento_de_Carteira</vt:lpstr>
      <vt:lpstr>Rendomento_de_Carteira</vt:lpstr>
      <vt:lpstr>Salario</vt:lpstr>
      <vt:lpstr>Salário</vt:lpstr>
      <vt:lpstr>Sugestao_Investimento</vt:lpstr>
      <vt:lpstr>Sugestão_Investimento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 nascimento de oliveira</dc:creator>
  <cp:lastModifiedBy>luiz fernando nascimento de oliveira</cp:lastModifiedBy>
  <dcterms:created xsi:type="dcterms:W3CDTF">2026-01-21T13:06:46Z</dcterms:created>
  <dcterms:modified xsi:type="dcterms:W3CDTF">2026-01-22T00:06:33Z</dcterms:modified>
</cp:coreProperties>
</file>